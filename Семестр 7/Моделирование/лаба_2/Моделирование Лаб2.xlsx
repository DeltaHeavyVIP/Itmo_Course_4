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<sst xmlns="http://schemas.openxmlformats.org/spreadsheetml/2006/main" count="361" uniqueCount="95">
  <si>
    <t>System_1</t>
  </si>
  <si>
    <t>S0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</si>
  <si>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</si>
  <si>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</si>
  <si>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</si>
  <si>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</si>
  <si>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</si>
  <si>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</si>
  <si>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</si>
  <si>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</si>
  <si>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</si>
  <si>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</si>
  <si>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</si>
  <si>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</si>
  <si>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</si>
  <si>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Обозначение</t>
  </si>
  <si>
    <t>Вероятность</t>
  </si>
  <si>
    <t>λ</t>
  </si>
  <si>
    <t xml:space="preserve"> </t>
  </si>
  <si>
    <t>Хар-ка</t>
  </si>
  <si>
    <t>Прибор</t>
  </si>
  <si>
    <t>Расчетная формула</t>
  </si>
  <si>
    <t>СИСТ.1</t>
  </si>
  <si>
    <t>μ</t>
  </si>
  <si>
    <t>Нагрузка</t>
  </si>
  <si>
    <t>П1</t>
  </si>
  <si>
    <t>y1=λ1*b1</t>
  </si>
  <si>
    <t>2μ</t>
  </si>
  <si>
    <t>П2</t>
  </si>
  <si>
    <t>y2=λ2*b2</t>
  </si>
  <si>
    <t>Сумм.</t>
  </si>
  <si>
    <t>Y=y1+y2</t>
  </si>
  <si>
    <t>Загрузка</t>
  </si>
  <si>
    <t>ρ1 = 1 - (p0 + p1)</t>
  </si>
  <si>
    <t>ρ2 = 1 - (p0 +p2+p4+s10+s11+s12+s13)</t>
  </si>
  <si>
    <t>R = 1-p0</t>
  </si>
  <si>
    <t>Вероятность потери</t>
  </si>
  <si>
    <t>π1 = (p8+p9 +p12+p13) *0,5</t>
  </si>
  <si>
    <t>π2 = (1 - (p0 +p2+p4+s10+s11+s12+s13))*0.5</t>
  </si>
  <si>
    <t>π = π1 + π2</t>
  </si>
  <si>
    <t>Длина очереди</t>
  </si>
  <si>
    <t>l1 = (p6+p7+p10+p11)*1 + (p8+p9+p12+p13)*2</t>
  </si>
  <si>
    <t>l2 = 0</t>
  </si>
  <si>
    <t>l = (l1 + l2)/2</t>
  </si>
  <si>
    <t>Число заявок находящихся в системе</t>
  </si>
  <si>
    <t>m1 = (p2+p3+p4+p5)*1+(p6+p7+p10+p11)*2+(p8+p9+p12+p13)*3</t>
  </si>
  <si>
    <t>m2 = p3 + p5 + p6 + p7 + p8 + p9</t>
  </si>
  <si>
    <t>m = (p1+p2+p4)*1+(p3+p5+p10+p11)*2+(p6+p7+p12+p13)*3+(p8+p9)*4</t>
  </si>
  <si>
    <t>Производительность</t>
  </si>
  <si>
    <t>λ1' = (1-π1)*λ1</t>
  </si>
  <si>
    <t>λ2' = (1-π2)*λ2</t>
  </si>
  <si>
    <t xml:space="preserve">λ' = λ1'  + λ2' </t>
  </si>
  <si>
    <t>Коэффициент простоя системы</t>
  </si>
  <si>
    <t>η =1 − ρ1</t>
  </si>
  <si>
    <t>η =1 − ρ2</t>
  </si>
  <si>
    <t>η =1 − ρ</t>
  </si>
  <si>
    <t>Время ожидания</t>
  </si>
  <si>
    <t>w1 = l1 / λ1'</t>
  </si>
  <si>
    <t>w2 = l2 / λ2'</t>
  </si>
  <si>
    <t>w = l / λ'</t>
  </si>
  <si>
    <t>Время пребывания</t>
  </si>
  <si>
    <t>u1 = w1+b1</t>
  </si>
  <si>
    <t>u2 = w2+b2</t>
  </si>
  <si>
    <t>u=w+b</t>
  </si>
  <si>
    <t>СИСТ.2</t>
  </si>
  <si>
    <t>System_2</t>
  </si>
  <si>
    <t>S14</t>
  </si>
  <si>
    <t>S15</t>
  </si>
  <si>
    <t>λ1</t>
  </si>
  <si>
    <t>λ2</t>
  </si>
  <si>
    <t>λ3</t>
  </si>
  <si>
    <t>П3</t>
  </si>
  <si>
    <t>y3=λ3*b3</t>
  </si>
  <si>
    <t>Y=y1 + y2 + y3</t>
  </si>
  <si>
    <t>ρ1 = 1- (p0 + p1 + p2 + p3 + p4 + p5)</t>
  </si>
  <si>
    <t>ρ2 = p1 + p3 + p4 + p7 + p11 + p12 + p13 + p14</t>
  </si>
  <si>
    <t>ρ3 = 1 - (p0 + p1 +p4 +p8 + p10 + p12 + p13)</t>
  </si>
  <si>
    <t>R = 1 - p0</t>
  </si>
  <si>
    <t>π1 = (p10 + p13 + p14 + p15) * 0,5</t>
  </si>
  <si>
    <t>π2 = (p1 + p3 + p6 + p7 + p11 +p12 +p13 +p14) * 0,4</t>
  </si>
  <si>
    <t>π3 = (p2 +p3 +p4 +p7 + p9+ p11 + p14+ p15)* 0,1</t>
  </si>
  <si>
    <t>π = π1 + π2 + π3</t>
  </si>
  <si>
    <t>l1 = (p8 + p9 + p11+ p12)*1 + (p10+ p13 + p14 + p15)*2</t>
  </si>
  <si>
    <t>l3 = 0</t>
  </si>
  <si>
    <t>l = l1 + l2 + l3</t>
  </si>
  <si>
    <t>m1 = (p4+p6+p7)*1 + (p8+p9+p11+p12)*2 + (p10+p13+p14+p15)*3</t>
  </si>
  <si>
    <t>m2 =  p1+p3+p4+p7+p11+p12+p13+p14</t>
  </si>
  <si>
    <t>m3 =  p2+p3+p5+p6+p7+p9+p11+p14+p15</t>
  </si>
  <si>
    <t xml:space="preserve">m = (p1+p2+p5)*1 + (p3+p4+p6+p8)*2 + (p7+p9+p10+p12)*3 + (p11+p13+p15)*4 + p14*5   </t>
  </si>
  <si>
    <t>λ3' = (1-π3)*λ3</t>
  </si>
  <si>
    <t xml:space="preserve">λ' = λ1'  + λ2' + λ3' </t>
  </si>
  <si>
    <t>η =1 − ρ3</t>
  </si>
  <si>
    <t>w3 = l3 / λ3'</t>
  </si>
  <si>
    <t>u3 = w3+b3</t>
  </si>
  <si>
    <t>Разница,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</si>
</sst>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sz val="12.0"/>
      <color rgb="FF202124"/>
      <name val="Arial"/>
    </font>
    <font>
      <b/>
      <color theme="1"/>
      <name val="Arial"/>
      <scheme val="minor"/>
    </font>
    <font>
      <sz val="11.0"/>
      <color rgb="FF000000"/>
      <name val="&quot;Times New Roman&quot;"/>
    </font>
    <font>
      <sz val="11.0"/>
      <color rgb="FF000000"/>
      <name val="Docs-Calibri"/>
    </font>
    <font/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2" fontId="2" numFmtId="0" xfId="0" applyAlignment="1" applyBorder="1" applyFont="1">
      <alignment readingOrder="0"/>
    </xf>
    <xf borderId="1" fillId="2" fontId="3" numFmtId="0" xfId="0" applyAlignment="1" applyBorder="1" applyFont="1">
      <alignment horizontal="right"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3" fontId="4" numFmtId="0" xfId="0" applyAlignment="1" applyBorder="1" applyFill="1" applyFont="1">
      <alignment horizontal="center" readingOrder="0" vertical="center"/>
    </xf>
    <xf borderId="1" fillId="3" fontId="1" numFmtId="0" xfId="0" applyAlignment="1" applyBorder="1" applyFont="1">
      <alignment readingOrder="0" shrinkToFit="0" vertical="bottom" wrapText="0"/>
    </xf>
    <xf borderId="1" fillId="4" fontId="3" numFmtId="0" xfId="0" applyAlignment="1" applyBorder="1" applyFill="1" applyFont="1">
      <alignment horizontal="left" readingOrder="0"/>
    </xf>
    <xf borderId="1" fillId="0" fontId="1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horizontal="right" readingOrder="0"/>
    </xf>
    <xf borderId="2" fillId="2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2" fontId="6" numFmtId="0" xfId="0" applyAlignment="1" applyBorder="1" applyFont="1">
      <alignment horizontal="right" readingOrder="0"/>
    </xf>
    <xf borderId="3" fillId="0" fontId="7" numFmtId="0" xfId="0" applyBorder="1" applyFont="1"/>
    <xf borderId="1" fillId="4" fontId="6" numFmtId="0" xfId="0" applyAlignment="1" applyBorder="1" applyFont="1">
      <alignment horizontal="right" readingOrder="0"/>
    </xf>
    <xf borderId="4" fillId="0" fontId="7" numFmtId="0" xfId="0" applyBorder="1" applyFont="1"/>
    <xf borderId="1" fillId="0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right" readingOrder="0" shrinkToFit="0" vertical="bottom" wrapText="0"/>
    </xf>
    <xf borderId="1" fillId="4" fontId="1" numFmtId="0" xfId="0" applyAlignment="1" applyBorder="1" applyFont="1">
      <alignment horizontal="right" readingOrder="0"/>
    </xf>
    <xf borderId="1" fillId="4" fontId="8" numFmtId="0" xfId="0" applyAlignment="1" applyBorder="1" applyFont="1">
      <alignment horizontal="center" readingOrder="0" vertical="center"/>
    </xf>
    <xf borderId="0" fillId="0" fontId="2" numFmtId="0" xfId="0" applyFont="1"/>
    <xf borderId="0" fillId="0" fontId="2" numFmtId="0" xfId="0" applyAlignment="1" applyFont="1">
      <alignment horizontal="center" vertical="center"/>
    </xf>
    <xf borderId="1" fillId="3" fontId="2" numFmtId="0" xfId="0" applyAlignment="1" applyBorder="1" applyFont="1">
      <alignment readingOrder="0"/>
    </xf>
    <xf borderId="1" fillId="0" fontId="3" numFmtId="0" xfId="0" applyAlignment="1" applyBorder="1" applyFont="1">
      <alignment horizontal="right" readingOrder="0"/>
    </xf>
    <xf borderId="1" fillId="0" fontId="2" numFmtId="0" xfId="0" applyBorder="1" applyFont="1"/>
    <xf borderId="1" fillId="0" fontId="1" numFmtId="0" xfId="0" applyAlignment="1" applyBorder="1" applyFont="1">
      <alignment horizontal="right" readingOrder="0"/>
    </xf>
    <xf borderId="1" fillId="4" fontId="5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0" fillId="0" fontId="4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СИСТ.1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'Лист1'!$Z$83:$Z$90</c:f>
            </c:strRef>
          </c:cat>
          <c:val>
            <c:numRef>
              <c:f>'Лист1'!$AA$83:$AA$90</c:f>
              <c:numCache/>
            </c:numRef>
          </c:val>
        </c:ser>
        <c:ser>
          <c:idx val="1"/>
          <c:order val="1"/>
          <c:tx>
            <c:v>СИСТ.2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'Лист1'!$Z$83:$Z$90</c:f>
            </c:strRef>
          </c:cat>
          <c:val>
            <c:numRef>
              <c:f>'Лист1'!$AB$83:$AB$90</c:f>
              <c:numCache/>
            </c:numRef>
          </c:val>
        </c:ser>
        <c:axId val="1406692146"/>
        <c:axId val="840605062"/>
      </c:barChart>
      <c:catAx>
        <c:axId val="14066921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0605062"/>
      </c:catAx>
      <c:valAx>
        <c:axId val="8406050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66921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28575</xdr:colOff>
      <xdr:row>72</xdr:row>
      <xdr:rowOff>28575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5.75"/>
    <col customWidth="1" min="3" max="3" width="5.88"/>
    <col customWidth="1" min="4" max="4" width="6.25"/>
    <col customWidth="1" min="5" max="5" width="5.63"/>
    <col customWidth="1" min="6" max="6" width="6.38"/>
    <col customWidth="1" min="7" max="7" width="5.25"/>
    <col customWidth="1" min="8" max="8" width="7.0"/>
    <col customWidth="1" min="9" max="9" width="6.25"/>
    <col customWidth="1" min="10" max="10" width="6.0"/>
    <col customWidth="1" min="11" max="11" width="5.13"/>
    <col customWidth="1" min="12" max="12" width="6.25"/>
    <col customWidth="1" min="13" max="13" width="6.5"/>
    <col customWidth="1" min="14" max="14" width="6.88"/>
    <col customWidth="1" min="15" max="16" width="6.38"/>
    <col customWidth="1" min="17" max="17" width="5.5"/>
    <col customWidth="1" min="26" max="26" width="27.25"/>
    <col customWidth="1" min="28" max="28" width="36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S1" s="3" t="s">
        <v>15</v>
      </c>
      <c r="T1" s="3" t="s">
        <v>16</v>
      </c>
      <c r="V1" s="4" t="s">
        <v>17</v>
      </c>
      <c r="W1" s="5">
        <v>0.3</v>
      </c>
      <c r="Y1" s="6" t="s">
        <v>18</v>
      </c>
      <c r="Z1" s="7" t="s">
        <v>19</v>
      </c>
      <c r="AA1" s="7" t="s">
        <v>20</v>
      </c>
      <c r="AB1" s="7" t="s">
        <v>21</v>
      </c>
      <c r="AC1" s="7" t="s">
        <v>22</v>
      </c>
      <c r="AD1" s="6"/>
    </row>
    <row r="2">
      <c r="A2" s="2" t="s">
        <v>1</v>
      </c>
      <c r="B2" s="8">
        <v>0.0</v>
      </c>
      <c r="C2" s="9" t="s">
        <v>17</v>
      </c>
      <c r="D2" s="9" t="s">
        <v>17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S2" s="1" t="s">
        <v>1</v>
      </c>
      <c r="T2" s="5">
        <v>0.0026</v>
      </c>
      <c r="V2" s="11" t="s">
        <v>23</v>
      </c>
      <c r="W2" s="5">
        <v>0.1</v>
      </c>
      <c r="Z2" s="12" t="s">
        <v>24</v>
      </c>
      <c r="AA2" s="13" t="s">
        <v>25</v>
      </c>
      <c r="AB2" s="14" t="s">
        <v>26</v>
      </c>
      <c r="AC2" s="15">
        <f t="shared" ref="AC2:AC3" si="1">0.3*10</f>
        <v>3</v>
      </c>
      <c r="AD2" s="6"/>
    </row>
    <row r="3">
      <c r="A3" s="2" t="s">
        <v>2</v>
      </c>
      <c r="B3" s="9" t="s">
        <v>23</v>
      </c>
      <c r="C3" s="8">
        <v>1.0</v>
      </c>
      <c r="D3" s="10"/>
      <c r="E3" s="9" t="s">
        <v>17</v>
      </c>
      <c r="F3" s="10"/>
      <c r="G3" s="10"/>
      <c r="H3" s="10"/>
      <c r="I3" s="10"/>
      <c r="J3" s="10"/>
      <c r="K3" s="10"/>
      <c r="L3" s="10"/>
      <c r="M3" s="10"/>
      <c r="N3" s="10"/>
      <c r="O3" s="10"/>
      <c r="S3" s="1" t="s">
        <v>2</v>
      </c>
      <c r="T3" s="5">
        <v>0.0078</v>
      </c>
      <c r="V3" s="16" t="s">
        <v>27</v>
      </c>
      <c r="W3" s="5">
        <v>0.2</v>
      </c>
      <c r="Z3" s="17"/>
      <c r="AA3" s="13" t="s">
        <v>28</v>
      </c>
      <c r="AB3" s="14" t="s">
        <v>29</v>
      </c>
      <c r="AC3" s="15">
        <f t="shared" si="1"/>
        <v>3</v>
      </c>
    </row>
    <row r="4">
      <c r="A4" s="2" t="s">
        <v>3</v>
      </c>
      <c r="B4" s="10"/>
      <c r="C4" s="10"/>
      <c r="D4" s="8">
        <v>2.0</v>
      </c>
      <c r="E4" s="9" t="s">
        <v>17</v>
      </c>
      <c r="F4" s="18" t="s">
        <v>27</v>
      </c>
      <c r="G4" s="10"/>
      <c r="H4" s="10"/>
      <c r="I4" s="10"/>
      <c r="J4" s="10"/>
      <c r="K4" s="10"/>
      <c r="L4" s="9" t="s">
        <v>17</v>
      </c>
      <c r="M4" s="10"/>
      <c r="N4" s="10"/>
      <c r="O4" s="10"/>
      <c r="S4" s="1" t="s">
        <v>3</v>
      </c>
      <c r="T4" s="5">
        <v>0.0098</v>
      </c>
      <c r="Z4" s="19"/>
      <c r="AA4" s="13" t="s">
        <v>30</v>
      </c>
      <c r="AB4" s="15" t="s">
        <v>31</v>
      </c>
      <c r="AC4" s="15">
        <f>AC2+AC3</f>
        <v>6</v>
      </c>
    </row>
    <row r="5">
      <c r="A5" s="2" t="s">
        <v>4</v>
      </c>
      <c r="B5" s="10"/>
      <c r="C5" s="10"/>
      <c r="D5" s="9" t="s">
        <v>23</v>
      </c>
      <c r="E5" s="8">
        <v>3.0</v>
      </c>
      <c r="F5" s="10"/>
      <c r="G5" s="18" t="s">
        <v>27</v>
      </c>
      <c r="H5" s="9" t="s">
        <v>17</v>
      </c>
      <c r="I5" s="10"/>
      <c r="J5" s="10"/>
      <c r="K5" s="10"/>
      <c r="L5" s="10"/>
      <c r="M5" s="10"/>
      <c r="N5" s="10"/>
      <c r="O5" s="10"/>
      <c r="S5" s="1" t="s">
        <v>4</v>
      </c>
      <c r="T5" s="5">
        <v>0.0294</v>
      </c>
      <c r="Z5" s="12" t="s">
        <v>32</v>
      </c>
      <c r="AA5" s="13" t="s">
        <v>25</v>
      </c>
      <c r="AB5" s="14" t="s">
        <v>33</v>
      </c>
      <c r="AC5" s="20">
        <f>1-T2-T3</f>
        <v>0.9896</v>
      </c>
    </row>
    <row r="6">
      <c r="A6" s="2" t="s">
        <v>5</v>
      </c>
      <c r="B6" s="21" t="s">
        <v>27</v>
      </c>
      <c r="C6" s="10"/>
      <c r="D6" s="10"/>
      <c r="E6" s="10"/>
      <c r="F6" s="8">
        <v>4.0</v>
      </c>
      <c r="G6" s="9" t="s">
        <v>17</v>
      </c>
      <c r="H6" s="10"/>
      <c r="I6" s="10"/>
      <c r="J6" s="10"/>
      <c r="K6" s="10"/>
      <c r="L6" s="10"/>
      <c r="M6" s="9" t="s">
        <v>17</v>
      </c>
      <c r="N6" s="10"/>
      <c r="O6" s="10"/>
      <c r="S6" s="1" t="s">
        <v>5</v>
      </c>
      <c r="T6" s="5">
        <v>0.0039</v>
      </c>
      <c r="Z6" s="17"/>
      <c r="AA6" s="13" t="s">
        <v>28</v>
      </c>
      <c r="AB6" s="15" t="s">
        <v>34</v>
      </c>
      <c r="AC6" s="20">
        <f>1-T2-T4-T6-T12-T13-T14-T15</f>
        <v>0.75</v>
      </c>
    </row>
    <row r="7">
      <c r="A7" s="2" t="s">
        <v>6</v>
      </c>
      <c r="B7" s="10"/>
      <c r="C7" s="18" t="s">
        <v>27</v>
      </c>
      <c r="D7" s="10"/>
      <c r="E7" s="10"/>
      <c r="F7" s="22" t="s">
        <v>23</v>
      </c>
      <c r="G7" s="8">
        <v>5.0</v>
      </c>
      <c r="H7" s="10"/>
      <c r="I7" s="9" t="s">
        <v>17</v>
      </c>
      <c r="J7" s="10"/>
      <c r="K7" s="10"/>
      <c r="L7" s="10"/>
      <c r="M7" s="10"/>
      <c r="N7" s="10"/>
      <c r="O7" s="10"/>
      <c r="S7" s="1" t="s">
        <v>6</v>
      </c>
      <c r="T7" s="5">
        <v>0.0118</v>
      </c>
      <c r="Z7" s="19"/>
      <c r="AA7" s="13" t="s">
        <v>30</v>
      </c>
      <c r="AB7" s="15" t="s">
        <v>35</v>
      </c>
      <c r="AC7" s="20">
        <f>1-T2</f>
        <v>0.9974</v>
      </c>
    </row>
    <row r="8">
      <c r="A8" s="2" t="s">
        <v>7</v>
      </c>
      <c r="B8" s="10"/>
      <c r="C8" s="10"/>
      <c r="D8" s="10"/>
      <c r="E8" s="10"/>
      <c r="F8" s="10"/>
      <c r="G8" s="10"/>
      <c r="H8" s="8">
        <v>6.0</v>
      </c>
      <c r="I8" s="18" t="s">
        <v>27</v>
      </c>
      <c r="J8" s="10"/>
      <c r="K8" s="9" t="s">
        <v>17</v>
      </c>
      <c r="L8" s="9" t="s">
        <v>23</v>
      </c>
      <c r="M8" s="10"/>
      <c r="N8" s="10"/>
      <c r="O8" s="10"/>
      <c r="S8" s="1" t="s">
        <v>7</v>
      </c>
      <c r="T8" s="5">
        <v>0.1367</v>
      </c>
      <c r="Z8" s="12" t="s">
        <v>36</v>
      </c>
      <c r="AA8" s="13" t="s">
        <v>25</v>
      </c>
      <c r="AB8" s="23" t="s">
        <v>37</v>
      </c>
      <c r="AC8" s="20">
        <f>(T10+T11+T14+T15) * 0.5</f>
        <v>0.33505</v>
      </c>
    </row>
    <row r="9">
      <c r="A9" s="2" t="s">
        <v>8</v>
      </c>
      <c r="B9" s="10"/>
      <c r="C9" s="10"/>
      <c r="D9" s="10"/>
      <c r="E9" s="18" t="s">
        <v>27</v>
      </c>
      <c r="F9" s="10"/>
      <c r="G9" s="10"/>
      <c r="H9" s="10"/>
      <c r="I9" s="8">
        <v>7.0</v>
      </c>
      <c r="J9" s="9" t="s">
        <v>17</v>
      </c>
      <c r="K9" s="10"/>
      <c r="L9" s="10"/>
      <c r="M9" s="9" t="s">
        <v>23</v>
      </c>
      <c r="N9" s="10"/>
      <c r="O9" s="10"/>
      <c r="S9" s="1" t="s">
        <v>8</v>
      </c>
      <c r="T9" s="5">
        <v>0.0617</v>
      </c>
      <c r="Z9" s="17"/>
      <c r="AA9" s="13" t="s">
        <v>28</v>
      </c>
      <c r="AB9" s="23" t="s">
        <v>38</v>
      </c>
      <c r="AC9" s="20">
        <f>AC6*0.5</f>
        <v>0.375</v>
      </c>
    </row>
    <row r="10">
      <c r="A10" s="2" t="s">
        <v>9</v>
      </c>
      <c r="B10" s="10"/>
      <c r="C10" s="10"/>
      <c r="D10" s="10"/>
      <c r="E10" s="10"/>
      <c r="F10" s="10"/>
      <c r="G10" s="10"/>
      <c r="H10" s="18" t="s">
        <v>27</v>
      </c>
      <c r="I10" s="10"/>
      <c r="J10" s="8">
        <v>8.0</v>
      </c>
      <c r="K10" s="10"/>
      <c r="L10" s="10"/>
      <c r="M10" s="10"/>
      <c r="N10" s="10"/>
      <c r="O10" s="9" t="s">
        <v>23</v>
      </c>
      <c r="S10" s="1" t="s">
        <v>9</v>
      </c>
      <c r="T10" s="5">
        <v>0.2976</v>
      </c>
      <c r="Z10" s="19"/>
      <c r="AA10" s="13" t="s">
        <v>30</v>
      </c>
      <c r="AB10" s="15" t="s">
        <v>39</v>
      </c>
      <c r="AC10" s="20">
        <f>SUM(AC8:AC9)</f>
        <v>0.71005</v>
      </c>
    </row>
    <row r="11">
      <c r="A11" s="2" t="s">
        <v>10</v>
      </c>
      <c r="B11" s="10"/>
      <c r="C11" s="10"/>
      <c r="D11" s="10"/>
      <c r="E11" s="10"/>
      <c r="F11" s="10"/>
      <c r="G11" s="10"/>
      <c r="H11" s="10"/>
      <c r="I11" s="10"/>
      <c r="J11" s="18" t="s">
        <v>27</v>
      </c>
      <c r="K11" s="8">
        <v>9.0</v>
      </c>
      <c r="L11" s="10"/>
      <c r="M11" s="10"/>
      <c r="N11" s="9" t="s">
        <v>23</v>
      </c>
      <c r="O11" s="10"/>
      <c r="S11" s="1" t="s">
        <v>10</v>
      </c>
      <c r="T11" s="5">
        <v>0.205</v>
      </c>
      <c r="Z11" s="12" t="s">
        <v>40</v>
      </c>
      <c r="AA11" s="13" t="s">
        <v>25</v>
      </c>
      <c r="AB11" s="14" t="s">
        <v>41</v>
      </c>
      <c r="AC11" s="20">
        <f>(T8+T9+T12+T13) + (T10+T11+T14+T15)*2</f>
        <v>1.6048</v>
      </c>
    </row>
    <row r="12">
      <c r="A12" s="2" t="s">
        <v>11</v>
      </c>
      <c r="B12" s="10"/>
      <c r="C12" s="10"/>
      <c r="D12" s="10"/>
      <c r="E12" s="10"/>
      <c r="F12" s="10"/>
      <c r="G12" s="10"/>
      <c r="H12" s="9" t="s">
        <v>17</v>
      </c>
      <c r="I12" s="10"/>
      <c r="J12" s="10"/>
      <c r="K12" s="10"/>
      <c r="L12" s="8">
        <v>10.0</v>
      </c>
      <c r="M12" s="18" t="s">
        <v>27</v>
      </c>
      <c r="N12" s="9" t="s">
        <v>17</v>
      </c>
      <c r="O12" s="10"/>
      <c r="S12" s="1" t="s">
        <v>11</v>
      </c>
      <c r="T12" s="5">
        <v>0.0456</v>
      </c>
      <c r="Z12" s="17"/>
      <c r="AA12" s="13" t="s">
        <v>28</v>
      </c>
      <c r="AB12" s="14" t="s">
        <v>42</v>
      </c>
      <c r="AC12" s="15">
        <v>0.0</v>
      </c>
    </row>
    <row r="13">
      <c r="A13" s="2" t="s">
        <v>12</v>
      </c>
      <c r="B13" s="10"/>
      <c r="C13" s="10"/>
      <c r="D13" s="18" t="s">
        <v>27</v>
      </c>
      <c r="E13" s="10"/>
      <c r="F13" s="10"/>
      <c r="G13" s="10"/>
      <c r="H13" s="10"/>
      <c r="I13" s="9" t="s">
        <v>17</v>
      </c>
      <c r="J13" s="10"/>
      <c r="K13" s="10"/>
      <c r="L13" s="10"/>
      <c r="M13" s="8">
        <v>11.0</v>
      </c>
      <c r="N13" s="10"/>
      <c r="O13" s="9" t="s">
        <v>17</v>
      </c>
      <c r="S13" s="1" t="s">
        <v>12</v>
      </c>
      <c r="T13" s="5">
        <v>0.0206</v>
      </c>
      <c r="Z13" s="19"/>
      <c r="AA13" s="13" t="s">
        <v>30</v>
      </c>
      <c r="AB13" s="14" t="s">
        <v>43</v>
      </c>
      <c r="AC13" s="20">
        <f>(AC11+AC12)/2</f>
        <v>0.8024</v>
      </c>
    </row>
    <row r="14">
      <c r="A14" s="2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9" t="s">
        <v>17</v>
      </c>
      <c r="L14" s="10"/>
      <c r="M14" s="10"/>
      <c r="N14" s="8">
        <v>12.0</v>
      </c>
      <c r="O14" s="18" t="s">
        <v>27</v>
      </c>
      <c r="S14" s="1" t="s">
        <v>13</v>
      </c>
      <c r="T14" s="5">
        <v>0.0683</v>
      </c>
      <c r="Z14" s="12" t="s">
        <v>44</v>
      </c>
      <c r="AA14" s="13" t="s">
        <v>25</v>
      </c>
      <c r="AB14" s="15" t="s">
        <v>45</v>
      </c>
      <c r="AC14" s="20">
        <f>(T4+T5+T6+T7)*1 +(T8+T9+T12+T13)*2 + (T10+T11+T14+T15)*3</f>
        <v>2.5944</v>
      </c>
    </row>
    <row r="15">
      <c r="A15" s="2" t="s">
        <v>14</v>
      </c>
      <c r="B15" s="10"/>
      <c r="C15" s="10"/>
      <c r="D15" s="10"/>
      <c r="E15" s="10"/>
      <c r="F15" s="10"/>
      <c r="G15" s="10"/>
      <c r="H15" s="10"/>
      <c r="I15" s="10"/>
      <c r="J15" s="9" t="s">
        <v>17</v>
      </c>
      <c r="K15" s="10"/>
      <c r="L15" s="18" t="s">
        <v>27</v>
      </c>
      <c r="M15" s="10"/>
      <c r="N15" s="10"/>
      <c r="O15" s="8">
        <v>13.0</v>
      </c>
      <c r="S15" s="1" t="s">
        <v>14</v>
      </c>
      <c r="T15" s="5">
        <v>0.0992</v>
      </c>
      <c r="Z15" s="17"/>
      <c r="AA15" s="13" t="s">
        <v>28</v>
      </c>
      <c r="AB15" s="14" t="s">
        <v>46</v>
      </c>
      <c r="AC15" s="20">
        <f>T5+T7+T8+T9+T10+T11</f>
        <v>0.7422</v>
      </c>
    </row>
    <row r="16">
      <c r="T16" s="24">
        <f>SUM(T2:T15)</f>
        <v>1</v>
      </c>
      <c r="Z16" s="19"/>
      <c r="AA16" s="13" t="s">
        <v>30</v>
      </c>
      <c r="AB16" s="15" t="s">
        <v>47</v>
      </c>
      <c r="AC16" s="20">
        <f>(T3+T4+T6)*1 +(T5+T7+T12+T13)*2+(T8+T9+T14+T15)*3+(T10+T11)*4</f>
        <v>3.3444</v>
      </c>
    </row>
    <row r="17">
      <c r="Z17" s="12" t="s">
        <v>48</v>
      </c>
      <c r="AA17" s="13" t="s">
        <v>25</v>
      </c>
      <c r="AB17" s="15" t="s">
        <v>49</v>
      </c>
      <c r="AC17" s="20">
        <f t="shared" ref="AC17:AC18" si="2">(1-AC8)*0.3</f>
        <v>0.199485</v>
      </c>
    </row>
    <row r="18">
      <c r="A18" s="6"/>
      <c r="B18" s="6"/>
      <c r="C18" s="6"/>
      <c r="Z18" s="17"/>
      <c r="AA18" s="13" t="s">
        <v>28</v>
      </c>
      <c r="AB18" s="15" t="s">
        <v>50</v>
      </c>
      <c r="AC18" s="20">
        <f t="shared" si="2"/>
        <v>0.1875</v>
      </c>
    </row>
    <row r="19">
      <c r="Z19" s="19"/>
      <c r="AA19" s="13" t="s">
        <v>30</v>
      </c>
      <c r="AB19" s="15" t="s">
        <v>51</v>
      </c>
      <c r="AC19" s="20">
        <f>AC17+AC18</f>
        <v>0.386985</v>
      </c>
    </row>
    <row r="20">
      <c r="Z20" s="12" t="s">
        <v>52</v>
      </c>
      <c r="AA20" s="13" t="s">
        <v>25</v>
      </c>
      <c r="AB20" s="15" t="s">
        <v>53</v>
      </c>
      <c r="AC20" s="15">
        <f t="shared" ref="AC20:AC22" si="3">1-AC5</f>
        <v>0.0104</v>
      </c>
    </row>
    <row r="21">
      <c r="Z21" s="17"/>
      <c r="AA21" s="13" t="s">
        <v>28</v>
      </c>
      <c r="AB21" s="15" t="s">
        <v>54</v>
      </c>
      <c r="AC21" s="15">
        <f t="shared" si="3"/>
        <v>0.25</v>
      </c>
    </row>
    <row r="22">
      <c r="Z22" s="19"/>
      <c r="AA22" s="13" t="s">
        <v>30</v>
      </c>
      <c r="AB22" s="15" t="s">
        <v>55</v>
      </c>
      <c r="AC22" s="15">
        <f t="shared" si="3"/>
        <v>0.0026</v>
      </c>
    </row>
    <row r="23">
      <c r="Z23" s="12" t="s">
        <v>56</v>
      </c>
      <c r="AA23" s="13" t="s">
        <v>25</v>
      </c>
      <c r="AB23" s="14" t="s">
        <v>57</v>
      </c>
      <c r="AC23" s="20">
        <f t="shared" ref="AC23:AC25" si="4">AC11/AC17</f>
        <v>8.044715141</v>
      </c>
    </row>
    <row r="24">
      <c r="Z24" s="17"/>
      <c r="AA24" s="13" t="s">
        <v>28</v>
      </c>
      <c r="AB24" s="14" t="s">
        <v>58</v>
      </c>
      <c r="AC24" s="20">
        <f t="shared" si="4"/>
        <v>0</v>
      </c>
    </row>
    <row r="25">
      <c r="Z25" s="19"/>
      <c r="AA25" s="13" t="s">
        <v>30</v>
      </c>
      <c r="AB25" s="14" t="s">
        <v>59</v>
      </c>
      <c r="AC25" s="20">
        <f t="shared" si="4"/>
        <v>2.07346538</v>
      </c>
    </row>
    <row r="26">
      <c r="Z26" s="12" t="s">
        <v>60</v>
      </c>
      <c r="AA26" s="13" t="s">
        <v>25</v>
      </c>
      <c r="AB26" s="14" t="s">
        <v>61</v>
      </c>
      <c r="AC26" s="20">
        <f t="shared" ref="AC26:AC28" si="5">AC23+10</f>
        <v>18.04471514</v>
      </c>
    </row>
    <row r="27">
      <c r="Z27" s="17"/>
      <c r="AA27" s="13" t="s">
        <v>28</v>
      </c>
      <c r="AB27" s="14" t="s">
        <v>62</v>
      </c>
      <c r="AC27" s="20">
        <f t="shared" si="5"/>
        <v>10</v>
      </c>
    </row>
    <row r="28">
      <c r="Z28" s="19"/>
      <c r="AA28" s="13" t="s">
        <v>30</v>
      </c>
      <c r="AB28" s="14" t="s">
        <v>63</v>
      </c>
      <c r="AC28" s="20">
        <f t="shared" si="5"/>
        <v>12.07346538</v>
      </c>
    </row>
    <row r="29">
      <c r="AC29" s="25"/>
    </row>
    <row r="40">
      <c r="Z40" s="7" t="s">
        <v>19</v>
      </c>
      <c r="AA40" s="7" t="s">
        <v>20</v>
      </c>
      <c r="AB40" s="7" t="s">
        <v>21</v>
      </c>
      <c r="AC40" s="7" t="s">
        <v>64</v>
      </c>
    </row>
    <row r="41">
      <c r="A41" s="1" t="s">
        <v>65</v>
      </c>
      <c r="B41" s="2" t="s">
        <v>1</v>
      </c>
      <c r="C41" s="2" t="s">
        <v>2</v>
      </c>
      <c r="D41" s="2" t="s">
        <v>3</v>
      </c>
      <c r="E41" s="2" t="s">
        <v>4</v>
      </c>
      <c r="F41" s="2" t="s">
        <v>5</v>
      </c>
      <c r="G41" s="2" t="s">
        <v>6</v>
      </c>
      <c r="H41" s="2" t="s">
        <v>7</v>
      </c>
      <c r="I41" s="2" t="s">
        <v>8</v>
      </c>
      <c r="J41" s="2" t="s">
        <v>9</v>
      </c>
      <c r="K41" s="2" t="s">
        <v>10</v>
      </c>
      <c r="L41" s="2" t="s">
        <v>11</v>
      </c>
      <c r="M41" s="2" t="s">
        <v>12</v>
      </c>
      <c r="N41" s="2" t="s">
        <v>13</v>
      </c>
      <c r="O41" s="2" t="s">
        <v>14</v>
      </c>
      <c r="P41" s="2" t="s">
        <v>66</v>
      </c>
      <c r="Q41" s="3" t="s">
        <v>67</v>
      </c>
      <c r="S41" s="3" t="s">
        <v>15</v>
      </c>
      <c r="T41" s="3" t="s">
        <v>16</v>
      </c>
      <c r="V41" s="4" t="s">
        <v>68</v>
      </c>
      <c r="W41" s="5">
        <v>0.3</v>
      </c>
      <c r="Z41" s="12" t="s">
        <v>24</v>
      </c>
      <c r="AA41" s="13" t="s">
        <v>25</v>
      </c>
      <c r="AB41" s="14" t="s">
        <v>26</v>
      </c>
      <c r="AC41" s="15">
        <f>(0.5*0.6)/0.1</f>
        <v>3</v>
      </c>
    </row>
    <row r="42">
      <c r="A42" s="2" t="s">
        <v>1</v>
      </c>
      <c r="B42" s="26">
        <v>0.0</v>
      </c>
      <c r="C42" s="27" t="s">
        <v>69</v>
      </c>
      <c r="D42" s="27" t="s">
        <v>70</v>
      </c>
      <c r="E42" s="28"/>
      <c r="F42" s="28"/>
      <c r="G42" s="27" t="s">
        <v>68</v>
      </c>
      <c r="H42" s="28"/>
      <c r="I42" s="28"/>
      <c r="J42" s="28"/>
      <c r="K42" s="28"/>
      <c r="L42" s="28"/>
      <c r="M42" s="28"/>
      <c r="N42" s="28"/>
      <c r="O42" s="28"/>
      <c r="P42" s="28"/>
      <c r="Q42" s="28"/>
      <c r="S42" s="1" t="s">
        <v>1</v>
      </c>
      <c r="T42" s="5">
        <v>0.0048</v>
      </c>
      <c r="V42" s="4" t="s">
        <v>69</v>
      </c>
      <c r="W42" s="5">
        <v>0.24</v>
      </c>
      <c r="Z42" s="17"/>
      <c r="AA42" s="13" t="s">
        <v>28</v>
      </c>
      <c r="AB42" s="14" t="s">
        <v>29</v>
      </c>
      <c r="AC42" s="15">
        <f>(0.4*0.6)/0.1</f>
        <v>2.4</v>
      </c>
    </row>
    <row r="43">
      <c r="A43" s="2" t="s">
        <v>2</v>
      </c>
      <c r="B43" s="29" t="s">
        <v>23</v>
      </c>
      <c r="C43" s="26">
        <v>1.0</v>
      </c>
      <c r="D43" s="28"/>
      <c r="E43" s="27" t="s">
        <v>70</v>
      </c>
      <c r="F43" s="28"/>
      <c r="G43" s="28"/>
      <c r="H43" s="27" t="s">
        <v>68</v>
      </c>
      <c r="I43" s="28"/>
      <c r="J43" s="28"/>
      <c r="K43" s="28"/>
      <c r="L43" s="28"/>
      <c r="M43" s="28"/>
      <c r="N43" s="28"/>
      <c r="O43" s="28"/>
      <c r="P43" s="28"/>
      <c r="Q43" s="28"/>
      <c r="S43" s="1" t="s">
        <v>2</v>
      </c>
      <c r="T43" s="5">
        <v>0.0103</v>
      </c>
      <c r="V43" s="4" t="s">
        <v>70</v>
      </c>
      <c r="W43" s="5">
        <v>0.06</v>
      </c>
      <c r="Z43" s="17"/>
      <c r="AA43" s="13" t="s">
        <v>71</v>
      </c>
      <c r="AB43" s="15" t="s">
        <v>72</v>
      </c>
      <c r="AC43" s="15">
        <f>(0.1*0.6)/0.1</f>
        <v>0.6</v>
      </c>
    </row>
    <row r="44">
      <c r="A44" s="2" t="s">
        <v>3</v>
      </c>
      <c r="B44" s="29" t="s">
        <v>23</v>
      </c>
      <c r="C44" s="28"/>
      <c r="D44" s="26">
        <v>2.0</v>
      </c>
      <c r="E44" s="27" t="s">
        <v>69</v>
      </c>
      <c r="F44" s="27" t="s">
        <v>68</v>
      </c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S44" s="1" t="s">
        <v>3</v>
      </c>
      <c r="T44" s="5">
        <v>0.0031</v>
      </c>
      <c r="V44" s="11" t="s">
        <v>23</v>
      </c>
      <c r="W44" s="5">
        <v>0.1</v>
      </c>
      <c r="Z44" s="19"/>
      <c r="AA44" s="13" t="s">
        <v>30</v>
      </c>
      <c r="AB44" s="15" t="s">
        <v>73</v>
      </c>
      <c r="AC44" s="20">
        <f>AC41+AC42+AC43</f>
        <v>6</v>
      </c>
    </row>
    <row r="45">
      <c r="A45" s="2" t="s">
        <v>4</v>
      </c>
      <c r="B45" s="28"/>
      <c r="C45" s="29" t="s">
        <v>23</v>
      </c>
      <c r="D45" s="29" t="s">
        <v>23</v>
      </c>
      <c r="E45" s="26">
        <v>3.0</v>
      </c>
      <c r="F45" s="28"/>
      <c r="G45" s="28"/>
      <c r="H45" s="28"/>
      <c r="I45" s="27" t="s">
        <v>68</v>
      </c>
      <c r="J45" s="28"/>
      <c r="K45" s="28"/>
      <c r="L45" s="28"/>
      <c r="M45" s="28"/>
      <c r="N45" s="28"/>
      <c r="O45" s="28"/>
      <c r="P45" s="28"/>
      <c r="Q45" s="28"/>
      <c r="S45" s="1" t="s">
        <v>4</v>
      </c>
      <c r="T45" s="5">
        <v>0.0068</v>
      </c>
      <c r="Z45" s="12" t="s">
        <v>32</v>
      </c>
      <c r="AA45" s="13" t="s">
        <v>25</v>
      </c>
      <c r="AB45" s="14" t="s">
        <v>74</v>
      </c>
      <c r="AC45" s="20">
        <f>1-(T42+T43+T44+T45+T46+T47)</f>
        <v>0.9496</v>
      </c>
    </row>
    <row r="46">
      <c r="A46" s="2" t="s">
        <v>5</v>
      </c>
      <c r="B46" s="28"/>
      <c r="C46" s="28"/>
      <c r="D46" s="29" t="s">
        <v>23</v>
      </c>
      <c r="E46" s="28"/>
      <c r="F46" s="26">
        <v>4.0</v>
      </c>
      <c r="G46" s="29" t="s">
        <v>23</v>
      </c>
      <c r="H46" s="28"/>
      <c r="I46" s="27" t="s">
        <v>69</v>
      </c>
      <c r="J46" s="28"/>
      <c r="K46" s="27" t="s">
        <v>68</v>
      </c>
      <c r="L46" s="28"/>
      <c r="M46" s="28"/>
      <c r="N46" s="28"/>
      <c r="O46" s="28"/>
      <c r="P46" s="28"/>
      <c r="Q46" s="28"/>
      <c r="S46" s="1" t="s">
        <v>5</v>
      </c>
      <c r="T46" s="5">
        <v>0.0099</v>
      </c>
      <c r="Z46" s="17"/>
      <c r="AA46" s="13" t="s">
        <v>28</v>
      </c>
      <c r="AB46" s="15" t="s">
        <v>75</v>
      </c>
      <c r="AC46" s="20">
        <f>T43+T45+T46+T49+T53+T54+T55+T56</f>
        <v>0.6802</v>
      </c>
    </row>
    <row r="47">
      <c r="A47" s="2" t="s">
        <v>6</v>
      </c>
      <c r="B47" s="29" t="s">
        <v>23</v>
      </c>
      <c r="C47" s="28"/>
      <c r="D47" s="28"/>
      <c r="E47" s="28"/>
      <c r="F47" s="29" t="s">
        <v>23</v>
      </c>
      <c r="G47" s="26">
        <v>5.0</v>
      </c>
      <c r="H47" s="29" t="s">
        <v>23</v>
      </c>
      <c r="I47" s="28"/>
      <c r="J47" s="27" t="s">
        <v>68</v>
      </c>
      <c r="K47" s="28"/>
      <c r="L47" s="28"/>
      <c r="M47" s="28"/>
      <c r="N47" s="28"/>
      <c r="O47" s="28"/>
      <c r="P47" s="28"/>
      <c r="Q47" s="28"/>
      <c r="S47" s="1" t="s">
        <v>6</v>
      </c>
      <c r="T47" s="5">
        <v>0.0155</v>
      </c>
      <c r="Z47" s="17"/>
      <c r="AA47" s="13" t="s">
        <v>71</v>
      </c>
      <c r="AB47" s="15" t="s">
        <v>76</v>
      </c>
      <c r="AC47" s="20">
        <f>1-(T42+T43+T46+T50+T52+T54+T55)</f>
        <v>0.4235</v>
      </c>
      <c r="AD47" s="6"/>
    </row>
    <row r="48">
      <c r="A48" s="2" t="s">
        <v>7</v>
      </c>
      <c r="B48" s="28"/>
      <c r="C48" s="29" t="s">
        <v>23</v>
      </c>
      <c r="D48" s="28"/>
      <c r="E48" s="28"/>
      <c r="F48" s="28"/>
      <c r="G48" s="29" t="s">
        <v>23</v>
      </c>
      <c r="H48" s="26">
        <v>6.0</v>
      </c>
      <c r="I48" s="27" t="s">
        <v>70</v>
      </c>
      <c r="J48" s="28"/>
      <c r="K48" s="28"/>
      <c r="L48" s="28"/>
      <c r="M48" s="28"/>
      <c r="N48" s="27" t="s">
        <v>68</v>
      </c>
      <c r="O48" s="28"/>
      <c r="P48" s="28"/>
      <c r="Q48" s="28"/>
      <c r="S48" s="1" t="s">
        <v>7</v>
      </c>
      <c r="T48" s="5">
        <v>0.0291</v>
      </c>
      <c r="Z48" s="19"/>
      <c r="AA48" s="13" t="s">
        <v>30</v>
      </c>
      <c r="AB48" s="15" t="s">
        <v>77</v>
      </c>
      <c r="AC48" s="15">
        <f>1-T42</f>
        <v>0.9952</v>
      </c>
    </row>
    <row r="49">
      <c r="A49" s="2" t="s">
        <v>8</v>
      </c>
      <c r="B49" s="28"/>
      <c r="C49" s="28"/>
      <c r="D49" s="28"/>
      <c r="E49" s="29" t="s">
        <v>23</v>
      </c>
      <c r="F49" s="29" t="s">
        <v>23</v>
      </c>
      <c r="G49" s="28"/>
      <c r="H49" s="29" t="s">
        <v>23</v>
      </c>
      <c r="I49" s="26">
        <v>7.0</v>
      </c>
      <c r="J49" s="28"/>
      <c r="K49" s="28"/>
      <c r="L49" s="28"/>
      <c r="M49" s="27" t="s">
        <v>68</v>
      </c>
      <c r="N49" s="28"/>
      <c r="O49" s="28"/>
      <c r="P49" s="28"/>
      <c r="Q49" s="28"/>
      <c r="S49" s="1" t="s">
        <v>8</v>
      </c>
      <c r="T49" s="5">
        <v>0.0205</v>
      </c>
      <c r="Z49" s="12" t="s">
        <v>36</v>
      </c>
      <c r="AA49" s="13" t="s">
        <v>25</v>
      </c>
      <c r="AB49" s="23" t="s">
        <v>78</v>
      </c>
      <c r="AC49" s="20">
        <f>(T52+T55+T56+T57) * 0.5</f>
        <v>0.3375</v>
      </c>
    </row>
    <row r="50">
      <c r="A50" s="2" t="s">
        <v>9</v>
      </c>
      <c r="B50" s="28"/>
      <c r="C50" s="28"/>
      <c r="D50" s="28"/>
      <c r="E50" s="28"/>
      <c r="F50" s="28"/>
      <c r="G50" s="29" t="s">
        <v>23</v>
      </c>
      <c r="H50" s="28"/>
      <c r="I50" s="28"/>
      <c r="J50" s="26">
        <v>8.0</v>
      </c>
      <c r="K50" s="29" t="s">
        <v>23</v>
      </c>
      <c r="L50" s="27" t="s">
        <v>68</v>
      </c>
      <c r="M50" s="28"/>
      <c r="N50" s="27" t="s">
        <v>69</v>
      </c>
      <c r="O50" s="28"/>
      <c r="P50" s="28"/>
      <c r="Q50" s="28"/>
      <c r="S50" s="1" t="s">
        <v>9</v>
      </c>
      <c r="T50" s="5">
        <v>0.0396</v>
      </c>
      <c r="Z50" s="17"/>
      <c r="AA50" s="13" t="s">
        <v>28</v>
      </c>
      <c r="AB50" s="23" t="s">
        <v>79</v>
      </c>
      <c r="AC50" s="20">
        <f>(T43+T45+T48+T49+T53+T54+T55+T56)*0.4</f>
        <v>0.27976</v>
      </c>
    </row>
    <row r="51">
      <c r="A51" s="2" t="s">
        <v>10</v>
      </c>
      <c r="B51" s="28"/>
      <c r="C51" s="28"/>
      <c r="D51" s="28"/>
      <c r="E51" s="28"/>
      <c r="F51" s="29" t="s">
        <v>23</v>
      </c>
      <c r="G51" s="28"/>
      <c r="H51" s="28"/>
      <c r="I51" s="28"/>
      <c r="J51" s="29" t="s">
        <v>23</v>
      </c>
      <c r="K51" s="26">
        <v>9.0</v>
      </c>
      <c r="L51" s="28"/>
      <c r="M51" s="27" t="s">
        <v>69</v>
      </c>
      <c r="N51" s="28"/>
      <c r="O51" s="28"/>
      <c r="P51" s="28"/>
      <c r="Q51" s="27" t="s">
        <v>68</v>
      </c>
      <c r="S51" s="1" t="s">
        <v>10</v>
      </c>
      <c r="T51" s="5">
        <v>0.0281</v>
      </c>
      <c r="Z51" s="17"/>
      <c r="AA51" s="13" t="s">
        <v>71</v>
      </c>
      <c r="AB51" s="23" t="s">
        <v>80</v>
      </c>
      <c r="AC51" s="20">
        <f>(T44+T45+T46+T49+T51+T53+T56+T57)*0.1</f>
        <v>0.03888</v>
      </c>
    </row>
    <row r="52">
      <c r="A52" s="2" t="s">
        <v>11</v>
      </c>
      <c r="B52" s="28"/>
      <c r="C52" s="28"/>
      <c r="D52" s="28"/>
      <c r="E52" s="28"/>
      <c r="F52" s="28"/>
      <c r="G52" s="28"/>
      <c r="H52" s="28"/>
      <c r="I52" s="28"/>
      <c r="J52" s="29" t="s">
        <v>23</v>
      </c>
      <c r="K52" s="28"/>
      <c r="L52" s="26">
        <v>10.0</v>
      </c>
      <c r="M52" s="28"/>
      <c r="N52" s="28"/>
      <c r="O52" s="27" t="s">
        <v>69</v>
      </c>
      <c r="P52" s="28"/>
      <c r="Q52" s="27" t="s">
        <v>70</v>
      </c>
      <c r="S52" s="1" t="s">
        <v>11</v>
      </c>
      <c r="T52" s="5">
        <v>0.1224</v>
      </c>
      <c r="Z52" s="19"/>
      <c r="AA52" s="13" t="s">
        <v>30</v>
      </c>
      <c r="AB52" s="15" t="s">
        <v>81</v>
      </c>
      <c r="AC52" s="20">
        <f>AC49+AC50+AC51</f>
        <v>0.65614</v>
      </c>
    </row>
    <row r="53">
      <c r="A53" s="2" t="s">
        <v>12</v>
      </c>
      <c r="B53" s="28"/>
      <c r="C53" s="28"/>
      <c r="D53" s="28"/>
      <c r="E53" s="28"/>
      <c r="F53" s="28"/>
      <c r="G53" s="28"/>
      <c r="H53" s="28"/>
      <c r="I53" s="29" t="s">
        <v>23</v>
      </c>
      <c r="J53" s="28"/>
      <c r="K53" s="29" t="s">
        <v>23</v>
      </c>
      <c r="L53" s="28"/>
      <c r="M53" s="26">
        <v>11.0</v>
      </c>
      <c r="N53" s="29" t="s">
        <v>23</v>
      </c>
      <c r="O53" s="28"/>
      <c r="P53" s="27" t="s">
        <v>68</v>
      </c>
      <c r="Q53" s="28"/>
      <c r="S53" s="1" t="s">
        <v>12</v>
      </c>
      <c r="T53" s="5">
        <v>0.0614</v>
      </c>
      <c r="Z53" s="12" t="s">
        <v>40</v>
      </c>
      <c r="AA53" s="13" t="s">
        <v>25</v>
      </c>
      <c r="AB53" s="14" t="s">
        <v>82</v>
      </c>
      <c r="AC53" s="20">
        <f>(T50+T51+T53+T54)*1 + (T52+T55+T56+T57)*2</f>
        <v>1.575</v>
      </c>
    </row>
    <row r="54">
      <c r="A54" s="2" t="s">
        <v>13</v>
      </c>
      <c r="B54" s="28"/>
      <c r="C54" s="28"/>
      <c r="D54" s="28"/>
      <c r="E54" s="28"/>
      <c r="F54" s="28"/>
      <c r="G54" s="28"/>
      <c r="H54" s="29" t="s">
        <v>23</v>
      </c>
      <c r="I54" s="28"/>
      <c r="J54" s="29" t="s">
        <v>23</v>
      </c>
      <c r="K54" s="28"/>
      <c r="L54" s="28"/>
      <c r="M54" s="27" t="s">
        <v>70</v>
      </c>
      <c r="N54" s="26">
        <v>12.0</v>
      </c>
      <c r="O54" s="27" t="s">
        <v>68</v>
      </c>
      <c r="P54" s="28"/>
      <c r="Q54" s="28"/>
      <c r="S54" s="1" t="s">
        <v>13</v>
      </c>
      <c r="T54" s="5">
        <v>0.0959</v>
      </c>
      <c r="Z54" s="17"/>
      <c r="AA54" s="13" t="s">
        <v>28</v>
      </c>
      <c r="AB54" s="14" t="s">
        <v>42</v>
      </c>
      <c r="AC54" s="15">
        <v>0.0</v>
      </c>
    </row>
    <row r="55">
      <c r="A55" s="2" t="s">
        <v>14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9" t="s">
        <v>23</v>
      </c>
      <c r="M55" s="28"/>
      <c r="N55" s="29" t="s">
        <v>23</v>
      </c>
      <c r="O55" s="26">
        <v>13.0</v>
      </c>
      <c r="P55" s="27" t="s">
        <v>70</v>
      </c>
      <c r="Q55" s="28"/>
      <c r="S55" s="1" t="s">
        <v>14</v>
      </c>
      <c r="T55" s="5">
        <v>0.2936</v>
      </c>
      <c r="Z55" s="17"/>
      <c r="AA55" s="13" t="s">
        <v>71</v>
      </c>
      <c r="AB55" s="14" t="s">
        <v>83</v>
      </c>
      <c r="AC55" s="15">
        <v>0.0</v>
      </c>
    </row>
    <row r="56">
      <c r="A56" s="3" t="s">
        <v>66</v>
      </c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9" t="s">
        <v>23</v>
      </c>
      <c r="N56" s="28"/>
      <c r="O56" s="29" t="s">
        <v>23</v>
      </c>
      <c r="P56" s="26">
        <v>14.0</v>
      </c>
      <c r="Q56" s="29" t="s">
        <v>23</v>
      </c>
      <c r="S56" s="5" t="s">
        <v>66</v>
      </c>
      <c r="T56" s="5">
        <v>0.1818</v>
      </c>
      <c r="Z56" s="19"/>
      <c r="AA56" s="13" t="s">
        <v>30</v>
      </c>
      <c r="AB56" s="14" t="s">
        <v>84</v>
      </c>
      <c r="AC56" s="20">
        <f>AC53+AC54+AC55</f>
        <v>1.575</v>
      </c>
    </row>
    <row r="57">
      <c r="A57" s="3" t="s">
        <v>67</v>
      </c>
      <c r="B57" s="28"/>
      <c r="C57" s="28"/>
      <c r="D57" s="28"/>
      <c r="E57" s="28"/>
      <c r="F57" s="28"/>
      <c r="G57" s="28"/>
      <c r="H57" s="28"/>
      <c r="I57" s="28"/>
      <c r="J57" s="28"/>
      <c r="K57" s="29" t="s">
        <v>23</v>
      </c>
      <c r="L57" s="29" t="s">
        <v>23</v>
      </c>
      <c r="M57" s="28"/>
      <c r="N57" s="28"/>
      <c r="O57" s="28"/>
      <c r="P57" s="27" t="s">
        <v>69</v>
      </c>
      <c r="Q57" s="26">
        <v>15.0</v>
      </c>
      <c r="S57" s="5" t="s">
        <v>67</v>
      </c>
      <c r="T57" s="5">
        <v>0.0772</v>
      </c>
      <c r="Z57" s="12" t="s">
        <v>44</v>
      </c>
      <c r="AA57" s="13" t="s">
        <v>25</v>
      </c>
      <c r="AB57" s="15" t="s">
        <v>85</v>
      </c>
      <c r="AC57" s="20">
        <f>(T46+T48+T49)*1+(T50+T51+T53+T54)*2+(T52+T55+T56+T57)*3</f>
        <v>2.5345</v>
      </c>
    </row>
    <row r="58">
      <c r="T58" s="24">
        <f>SUM(T42:T57)</f>
        <v>1</v>
      </c>
      <c r="Z58" s="17"/>
      <c r="AA58" s="13" t="s">
        <v>28</v>
      </c>
      <c r="AB58" s="15" t="s">
        <v>86</v>
      </c>
      <c r="AC58" s="20">
        <f>T43+T45+T46+T49+T53+T54+T55+T56</f>
        <v>0.6802</v>
      </c>
    </row>
    <row r="59">
      <c r="Z59" s="17"/>
      <c r="AA59" s="13" t="s">
        <v>71</v>
      </c>
      <c r="AB59" s="15" t="s">
        <v>87</v>
      </c>
      <c r="AC59" s="20">
        <f>T44+T45+T47+T48+T49+T51+T53+T56+T57</f>
        <v>0.4235</v>
      </c>
    </row>
    <row r="60">
      <c r="Z60" s="19"/>
      <c r="AA60" s="13" t="s">
        <v>30</v>
      </c>
      <c r="AB60" s="15" t="s">
        <v>88</v>
      </c>
      <c r="AC60" s="20">
        <f>(T43+T44+T47)*1 +(T45+T46+T48+T50)*2 +(T49+T51+T52+T54)*3 +(T53+T55+T57)*4+(T56)*5</f>
        <v>3.6382</v>
      </c>
    </row>
    <row r="61">
      <c r="Z61" s="12" t="s">
        <v>48</v>
      </c>
      <c r="AA61" s="13" t="s">
        <v>25</v>
      </c>
      <c r="AB61" s="15" t="s">
        <v>49</v>
      </c>
      <c r="AC61" s="20">
        <f>(1-AC49)*0.6*0.5</f>
        <v>0.19875</v>
      </c>
    </row>
    <row r="62">
      <c r="Z62" s="17"/>
      <c r="AA62" s="13" t="s">
        <v>28</v>
      </c>
      <c r="AB62" s="15" t="s">
        <v>50</v>
      </c>
      <c r="AC62" s="20">
        <f>(1-AC50)*0.6*0.4</f>
        <v>0.1728576</v>
      </c>
    </row>
    <row r="63">
      <c r="Z63" s="17"/>
      <c r="AA63" s="13" t="s">
        <v>71</v>
      </c>
      <c r="AB63" s="15" t="s">
        <v>89</v>
      </c>
      <c r="AC63" s="20">
        <f>(1-AC51)*0.6*0.1</f>
        <v>0.0576672</v>
      </c>
    </row>
    <row r="64">
      <c r="Z64" s="19"/>
      <c r="AA64" s="13" t="s">
        <v>30</v>
      </c>
      <c r="AB64" s="15" t="s">
        <v>90</v>
      </c>
      <c r="AC64" s="20">
        <f>AC61+AC62+AC63</f>
        <v>0.4292748</v>
      </c>
    </row>
    <row r="65">
      <c r="Z65" s="12" t="s">
        <v>52</v>
      </c>
      <c r="AA65" s="13" t="s">
        <v>25</v>
      </c>
      <c r="AB65" s="15" t="s">
        <v>53</v>
      </c>
      <c r="AC65" s="20">
        <f t="shared" ref="AC65:AC68" si="6">1-AC45</f>
        <v>0.0504</v>
      </c>
    </row>
    <row r="66">
      <c r="Z66" s="17"/>
      <c r="AA66" s="13" t="s">
        <v>28</v>
      </c>
      <c r="AB66" s="15" t="s">
        <v>54</v>
      </c>
      <c r="AC66" s="20">
        <f t="shared" si="6"/>
        <v>0.3198</v>
      </c>
    </row>
    <row r="67">
      <c r="Z67" s="17"/>
      <c r="AA67" s="13" t="s">
        <v>71</v>
      </c>
      <c r="AB67" s="15" t="s">
        <v>91</v>
      </c>
      <c r="AC67" s="20">
        <f t="shared" si="6"/>
        <v>0.5765</v>
      </c>
    </row>
    <row r="68">
      <c r="Z68" s="19"/>
      <c r="AA68" s="13" t="s">
        <v>30</v>
      </c>
      <c r="AB68" s="15" t="s">
        <v>55</v>
      </c>
      <c r="AC68" s="20">
        <f t="shared" si="6"/>
        <v>0.0048</v>
      </c>
    </row>
    <row r="69">
      <c r="Z69" s="12" t="s">
        <v>56</v>
      </c>
      <c r="AA69" s="13" t="s">
        <v>25</v>
      </c>
      <c r="AB69" s="14" t="s">
        <v>57</v>
      </c>
      <c r="AC69" s="20">
        <f t="shared" ref="AC69:AC72" si="7">AC53/AC61</f>
        <v>7.924528302</v>
      </c>
    </row>
    <row r="70">
      <c r="Z70" s="17"/>
      <c r="AA70" s="13" t="s">
        <v>28</v>
      </c>
      <c r="AB70" s="14" t="s">
        <v>58</v>
      </c>
      <c r="AC70" s="20">
        <f t="shared" si="7"/>
        <v>0</v>
      </c>
    </row>
    <row r="71">
      <c r="Z71" s="17"/>
      <c r="AA71" s="13" t="s">
        <v>71</v>
      </c>
      <c r="AB71" s="14" t="s">
        <v>92</v>
      </c>
      <c r="AC71" s="20">
        <f t="shared" si="7"/>
        <v>0</v>
      </c>
    </row>
    <row r="72">
      <c r="Z72" s="19"/>
      <c r="AA72" s="13" t="s">
        <v>30</v>
      </c>
      <c r="AB72" s="14" t="s">
        <v>59</v>
      </c>
      <c r="AC72" s="20">
        <f t="shared" si="7"/>
        <v>3.668978473</v>
      </c>
    </row>
    <row r="73">
      <c r="Z73" s="12" t="s">
        <v>60</v>
      </c>
      <c r="AA73" s="13" t="s">
        <v>25</v>
      </c>
      <c r="AB73" s="14" t="s">
        <v>61</v>
      </c>
      <c r="AC73" s="20">
        <f t="shared" ref="AC73:AC76" si="8">AC69+10</f>
        <v>17.9245283</v>
      </c>
    </row>
    <row r="74">
      <c r="Z74" s="17"/>
      <c r="AA74" s="13" t="s">
        <v>28</v>
      </c>
      <c r="AB74" s="14" t="s">
        <v>62</v>
      </c>
      <c r="AC74" s="20">
        <f t="shared" si="8"/>
        <v>10</v>
      </c>
    </row>
    <row r="75">
      <c r="Z75" s="17"/>
      <c r="AA75" s="13" t="s">
        <v>71</v>
      </c>
      <c r="AB75" s="30" t="s">
        <v>93</v>
      </c>
      <c r="AC75" s="20">
        <f t="shared" si="8"/>
        <v>10</v>
      </c>
    </row>
    <row r="76">
      <c r="Z76" s="19"/>
      <c r="AA76" s="13" t="s">
        <v>30</v>
      </c>
      <c r="AB76" s="14" t="s">
        <v>63</v>
      </c>
      <c r="AC76" s="20">
        <f t="shared" si="8"/>
        <v>13.66897847</v>
      </c>
    </row>
    <row r="81">
      <c r="Z81" s="7" t="s">
        <v>19</v>
      </c>
      <c r="AA81" s="7" t="s">
        <v>22</v>
      </c>
      <c r="AB81" s="7" t="s">
        <v>64</v>
      </c>
      <c r="AC81" s="7" t="s">
        <v>94</v>
      </c>
    </row>
    <row r="82">
      <c r="Z82" s="31" t="s">
        <v>24</v>
      </c>
      <c r="AA82" s="15">
        <v>6.0</v>
      </c>
      <c r="AB82" s="15">
        <v>6.0</v>
      </c>
      <c r="AC82" s="32">
        <f t="shared" ref="AC82:AC90" si="9">(AB82/AA82)*100 -100</f>
        <v>0</v>
      </c>
    </row>
    <row r="83">
      <c r="Z83" s="31" t="s">
        <v>32</v>
      </c>
      <c r="AA83" s="15">
        <v>0.9974</v>
      </c>
      <c r="AB83" s="15">
        <v>0.9952</v>
      </c>
      <c r="AC83" s="32">
        <f t="shared" si="9"/>
        <v>-0.2205734911</v>
      </c>
    </row>
    <row r="84">
      <c r="Z84" s="31" t="s">
        <v>36</v>
      </c>
      <c r="AA84" s="15">
        <v>0.71005</v>
      </c>
      <c r="AB84" s="15">
        <v>0.65614</v>
      </c>
      <c r="AC84" s="32">
        <f t="shared" si="9"/>
        <v>-7.592423069</v>
      </c>
    </row>
    <row r="85">
      <c r="Z85" s="31" t="s">
        <v>40</v>
      </c>
      <c r="AA85" s="15">
        <v>0.8024</v>
      </c>
      <c r="AB85" s="15">
        <v>1.575</v>
      </c>
      <c r="AC85" s="32">
        <f t="shared" si="9"/>
        <v>96.28614158</v>
      </c>
    </row>
    <row r="86">
      <c r="Z86" s="31" t="s">
        <v>44</v>
      </c>
      <c r="AA86" s="15">
        <v>3.3444</v>
      </c>
      <c r="AB86" s="15">
        <v>3.6382</v>
      </c>
      <c r="AC86" s="32">
        <f t="shared" si="9"/>
        <v>8.78483435</v>
      </c>
    </row>
    <row r="87">
      <c r="Z87" s="31" t="s">
        <v>48</v>
      </c>
      <c r="AA87" s="15">
        <v>0.386985</v>
      </c>
      <c r="AB87" s="15">
        <v>0.4292748</v>
      </c>
      <c r="AC87" s="32">
        <f t="shared" si="9"/>
        <v>10.92802047</v>
      </c>
    </row>
    <row r="88">
      <c r="Z88" s="31" t="s">
        <v>52</v>
      </c>
      <c r="AA88" s="15">
        <v>0.0026</v>
      </c>
      <c r="AB88" s="15">
        <v>0.0048</v>
      </c>
      <c r="AC88" s="32">
        <f t="shared" si="9"/>
        <v>84.61538462</v>
      </c>
    </row>
    <row r="89">
      <c r="Z89" s="31" t="s">
        <v>56</v>
      </c>
      <c r="AA89" s="15">
        <v>2.07346538</v>
      </c>
      <c r="AB89" s="15">
        <v>3.668978473</v>
      </c>
      <c r="AC89" s="32">
        <f t="shared" si="9"/>
        <v>76.94910696</v>
      </c>
    </row>
    <row r="90">
      <c r="Z90" s="31" t="s">
        <v>60</v>
      </c>
      <c r="AA90" s="15">
        <v>12.0735</v>
      </c>
      <c r="AB90" s="15">
        <v>13.66897847</v>
      </c>
      <c r="AC90" s="32">
        <f t="shared" si="9"/>
        <v>13.21471379</v>
      </c>
    </row>
    <row r="96">
      <c r="Z96" s="33"/>
      <c r="AA96" s="33"/>
      <c r="AB96" s="33"/>
      <c r="AC96" s="33"/>
    </row>
    <row r="97">
      <c r="Z97" s="33"/>
      <c r="AA97" s="33"/>
      <c r="AB97" s="33"/>
      <c r="AC97" s="33"/>
    </row>
    <row r="98">
      <c r="Z98" s="33"/>
      <c r="AA98" s="33"/>
      <c r="AB98" s="33"/>
      <c r="AC98" s="33"/>
    </row>
    <row r="99">
      <c r="Z99" s="33"/>
      <c r="AA99" s="33"/>
      <c r="AB99" s="33"/>
      <c r="AC99" s="33"/>
    </row>
    <row r="100">
      <c r="Z100" s="33"/>
      <c r="AA100" s="33"/>
      <c r="AB100" s="33"/>
      <c r="AC100" s="33"/>
    </row>
    <row r="101">
      <c r="Z101" s="33"/>
      <c r="AA101" s="33"/>
      <c r="AB101" s="33"/>
      <c r="AC101" s="33"/>
    </row>
    <row r="102">
      <c r="Z102" s="33"/>
      <c r="AA102" s="33"/>
      <c r="AB102" s="33"/>
      <c r="AC102" s="33"/>
    </row>
    <row r="103">
      <c r="Z103" s="33"/>
      <c r="AA103" s="33"/>
      <c r="AB103" s="33"/>
      <c r="AC103" s="33"/>
    </row>
    <row r="104">
      <c r="Z104" s="33"/>
      <c r="AA104" s="33"/>
      <c r="AB104" s="33"/>
      <c r="AC104" s="33"/>
    </row>
    <row r="105">
      <c r="Z105" s="33"/>
      <c r="AA105" s="33"/>
      <c r="AB105" s="33"/>
      <c r="AC105" s="33"/>
    </row>
    <row r="106">
      <c r="Z106" s="33"/>
      <c r="AA106" s="33"/>
      <c r="AB106" s="33"/>
      <c r="AC106" s="33"/>
    </row>
    <row r="107">
      <c r="Z107" s="33"/>
      <c r="AA107" s="33"/>
      <c r="AB107" s="33"/>
      <c r="AC107" s="33"/>
    </row>
    <row r="108">
      <c r="Z108" s="33"/>
      <c r="AA108" s="33"/>
      <c r="AB108" s="33"/>
      <c r="AC108" s="33"/>
    </row>
    <row r="109">
      <c r="Z109" s="33"/>
      <c r="AA109" s="33"/>
      <c r="AB109" s="33"/>
      <c r="AC109" s="33"/>
    </row>
    <row r="110">
      <c r="Z110" s="33"/>
      <c r="AA110" s="33"/>
      <c r="AB110" s="33"/>
      <c r="AC110" s="33"/>
    </row>
    <row r="111">
      <c r="Z111" s="33"/>
      <c r="AA111" s="33"/>
      <c r="AB111" s="33"/>
      <c r="AC111" s="33"/>
    </row>
    <row r="112">
      <c r="Z112" s="33"/>
      <c r="AA112" s="33"/>
      <c r="AB112" s="33"/>
      <c r="AC112" s="33"/>
    </row>
    <row r="113">
      <c r="Z113" s="33"/>
      <c r="AA113" s="33"/>
      <c r="AB113" s="33"/>
      <c r="AC113" s="33"/>
    </row>
  </sheetData>
  <mergeCells count="18">
    <mergeCell ref="Z2:Z4"/>
    <mergeCell ref="Z5:Z7"/>
    <mergeCell ref="Z8:Z10"/>
    <mergeCell ref="Z11:Z13"/>
    <mergeCell ref="Z14:Z16"/>
    <mergeCell ref="Z17:Z19"/>
    <mergeCell ref="Z20:Z22"/>
    <mergeCell ref="Z61:Z64"/>
    <mergeCell ref="Z65:Z68"/>
    <mergeCell ref="Z69:Z72"/>
    <mergeCell ref="Z73:Z76"/>
    <mergeCell ref="Z23:Z25"/>
    <mergeCell ref="Z26:Z28"/>
    <mergeCell ref="Z41:Z44"/>
    <mergeCell ref="Z45:Z48"/>
    <mergeCell ref="Z49:Z52"/>
    <mergeCell ref="Z53:Z56"/>
    <mergeCell ref="Z57:Z60"/>
  </mergeCells>
  <drawing r:id="rId1"/>
</worksheet>
</file>